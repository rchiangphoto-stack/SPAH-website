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ink Opportunities" sheetId="1" state="visible" r:id="rId1"/>
    <sheet name="Current Backlinks (50)" sheetId="2" state="visible" r:id="rId2"/>
  </sheets>
  <definedNames>
    <definedName name="_xlnm._FilterDatabase" localSheetId="0" hidden="1">'Backlink Opportunities'!$A$1:$J$22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F0F4C3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2" customWidth="1" min="4" max="4"/>
    <col width="14" customWidth="1" min="5" max="5"/>
    <col width="42" customWidth="1" min="6" max="6"/>
    <col width="42" customWidth="1" min="7" max="7"/>
    <col width="32" customWidth="1" min="8" max="8"/>
    <col width="14" customWidth="1" min="9" max="9"/>
    <col width="30" customWidth="1" min="10" max="10"/>
  </cols>
  <sheetData>
    <row r="1" ht="30" customHeight="1">
      <c r="A1" s="1" t="inlineStr">
        <is>
          <t>Priority</t>
        </is>
      </c>
      <c r="B1" s="1" t="inlineStr">
        <is>
          <t>Platform</t>
        </is>
      </c>
      <c r="C1" s="1" t="inlineStr">
        <is>
          <t>Type</t>
        </is>
      </c>
      <c r="D1" s="1" t="inlineStr">
        <is>
          <t>Free/Paid</t>
        </is>
      </c>
      <c r="E1" s="1" t="inlineStr">
        <is>
          <t>SEO Value</t>
        </is>
      </c>
      <c r="F1" s="1" t="inlineStr">
        <is>
          <t>URL</t>
        </is>
      </c>
      <c r="G1" s="1" t="inlineStr">
        <is>
          <t>How to Get Listed</t>
        </is>
      </c>
      <c r="H1" s="1" t="inlineStr">
        <is>
          <t>Contact Info</t>
        </is>
      </c>
      <c r="I1" s="1" t="inlineStr">
        <is>
          <t>Status</t>
        </is>
      </c>
      <c r="J1" s="1" t="inlineStr">
        <is>
          <t>Notes</t>
        </is>
      </c>
    </row>
    <row r="2" ht="60" customHeight="1">
      <c r="A2" s="2" t="inlineStr">
        <is>
          <t>P1</t>
        </is>
      </c>
      <c r="B2" s="3" t="inlineStr">
        <is>
          <t>Yelp for Business</t>
        </is>
      </c>
      <c r="C2" s="3" t="inlineStr">
        <is>
          <t>Directory</t>
        </is>
      </c>
      <c r="D2" s="4" t="inlineStr">
        <is>
          <t>Free</t>
        </is>
      </c>
      <c r="E2" s="5" t="inlineStr">
        <is>
          <t>Very High</t>
        </is>
      </c>
      <c r="F2" s="3" t="inlineStr">
        <is>
          <t>https://business.yelp.com/</t>
        </is>
      </c>
      <c r="G2" s="3" t="inlineStr">
        <is>
          <t>Claim listing &gt; complete all profile fields &gt; upload photos &gt; respond to reviews</t>
        </is>
      </c>
      <c r="H2" s="3" t="inlineStr">
        <is>
          <t>business.yelp.com</t>
        </is>
      </c>
      <c r="I2" s="4" t="inlineStr">
        <is>
          <t>Not Started</t>
        </is>
      </c>
      <c r="J2" s="3" t="inlineStr">
        <is>
          <t>DA 90+. Yelp pages rank on page 1 for local searches. MUST claim &amp; optimize.</t>
        </is>
      </c>
    </row>
    <row r="3" ht="60" customHeight="1">
      <c r="A3" s="2" t="inlineStr">
        <is>
          <t>P1</t>
        </is>
      </c>
      <c r="B3" s="3" t="inlineStr">
        <is>
          <t>Patch.com (Alhambra)</t>
        </is>
      </c>
      <c r="C3" s="3" t="inlineStr">
        <is>
          <t>Local News/Directory</t>
        </is>
      </c>
      <c r="D3" s="4" t="inlineStr">
        <is>
          <t>Free</t>
        </is>
      </c>
      <c r="E3" s="6" t="inlineStr">
        <is>
          <t>High</t>
        </is>
      </c>
      <c r="F3" s="3" t="inlineStr">
        <is>
          <t>https://patch.com/california/los-angeles/directory</t>
        </is>
      </c>
      <c r="G3" s="3" t="inlineStr">
        <is>
          <t>Sign up &gt; Get Posting &gt; select Business &gt; verify account &gt; create listing</t>
        </is>
      </c>
      <c r="H3" s="3" t="inlineStr">
        <is>
          <t>patch.com/sign-up</t>
        </is>
      </c>
      <c r="I3" s="4" t="inlineStr">
        <is>
          <t>Not Started</t>
        </is>
      </c>
      <c r="J3" s="3" t="inlineStr">
        <is>
          <t>DA 80+. Business listings rank well in local Google searches.</t>
        </is>
      </c>
    </row>
    <row r="4" ht="60" customHeight="1">
      <c r="A4" s="2" t="inlineStr">
        <is>
          <t>P1</t>
        </is>
      </c>
      <c r="B4" s="3" t="inlineStr">
        <is>
          <t>Alignable</t>
        </is>
      </c>
      <c r="C4" s="3" t="inlineStr">
        <is>
          <t>Business Network</t>
        </is>
      </c>
      <c r="D4" s="4" t="inlineStr">
        <is>
          <t>Free</t>
        </is>
      </c>
      <c r="E4" s="7" t="inlineStr">
        <is>
          <t>Moderate</t>
        </is>
      </c>
      <c r="F4" s="3" t="inlineStr">
        <is>
          <t>https://www.alignable.com/</t>
        </is>
      </c>
      <c r="G4" s="3" t="inlineStr">
        <is>
          <t>Sign up free &gt; complete business profile &gt; join local groups &gt; get recommendations</t>
        </is>
      </c>
      <c r="H4" s="3" t="inlineStr">
        <is>
          <t>alignable.com</t>
        </is>
      </c>
      <c r="I4" s="4" t="inlineStr">
        <is>
          <t>Not Started</t>
        </is>
      </c>
      <c r="J4" s="3" t="inlineStr">
        <is>
          <t>LinkedIn for local businesses. 10M+ business owners. Profiles indexed by Google.</t>
        </is>
      </c>
    </row>
    <row r="5" ht="60" customHeight="1">
      <c r="A5" s="2" t="inlineStr">
        <is>
          <t>P1</t>
        </is>
      </c>
      <c r="B5" s="3" t="inlineStr">
        <is>
          <t>AKC Veterinary Network</t>
        </is>
      </c>
      <c r="C5" s="3" t="inlineStr">
        <is>
          <t>Vet Directory</t>
        </is>
      </c>
      <c r="D5" s="4" t="inlineStr">
        <is>
          <t>Free</t>
        </is>
      </c>
      <c r="E5" s="8" t="inlineStr">
        <is>
          <t>Moderate-High</t>
        </is>
      </c>
      <c r="F5" s="3" t="inlineStr">
        <is>
          <t>https://www.apps.akc.org/vetnet/main</t>
        </is>
      </c>
      <c r="G5" s="3" t="inlineStr">
        <is>
          <t>Enroll at akc.org/vetnet &gt; appear in AKC Vet Finder directory</t>
        </is>
      </c>
      <c r="H5" s="3" t="inlineStr">
        <is>
          <t>akc.org/vetnet</t>
        </is>
      </c>
      <c r="I5" s="4" t="inlineStr">
        <is>
          <t>Not Started</t>
        </is>
      </c>
      <c r="J5" s="3" t="inlineStr">
        <is>
          <t>DA 80+. Free enrollment. ~2,000 practices listed. Great authority link.</t>
        </is>
      </c>
    </row>
    <row r="6" ht="60" customHeight="1">
      <c r="A6" s="2" t="inlineStr">
        <is>
          <t>P1</t>
        </is>
      </c>
      <c r="B6" s="3" t="inlineStr">
        <is>
          <t>CareCredit Provider Directory</t>
        </is>
      </c>
      <c r="C6" s="3" t="inlineStr">
        <is>
          <t>Healthcare Directory</t>
        </is>
      </c>
      <c r="D6" s="4" t="inlineStr">
        <is>
          <t>Free</t>
        </is>
      </c>
      <c r="E6" s="8" t="inlineStr">
        <is>
          <t>Moderate-High</t>
        </is>
      </c>
      <c r="F6" s="3" t="inlineStr">
        <is>
          <t>https://www.carecredit.com/providers/animal-healthcare/</t>
        </is>
      </c>
      <c r="G6" s="3" t="inlineStr">
        <is>
          <t>Call 800-300-3046 (opt 5) or visit carecredit.com/vetenroll</t>
        </is>
      </c>
      <c r="H6" s="3" t="inlineStr">
        <is>
          <t>(800) 300-3046 opt 5</t>
        </is>
      </c>
      <c r="I6" s="4" t="inlineStr">
        <is>
          <t>Not Started</t>
        </is>
      </c>
      <c r="J6" s="3" t="inlineStr">
        <is>
          <t>You already have a CareCredit backlink. Verify listing has new Alhambra address.</t>
        </is>
      </c>
    </row>
    <row r="7" ht="60" customHeight="1">
      <c r="A7" s="2" t="inlineStr">
        <is>
          <t>P1</t>
        </is>
      </c>
      <c r="B7" s="3" t="inlineStr">
        <is>
          <t>BringFido</t>
        </is>
      </c>
      <c r="C7" s="3" t="inlineStr">
        <is>
          <t>Pet Travel Directory</t>
        </is>
      </c>
      <c r="D7" s="4" t="inlineStr">
        <is>
          <t>Free</t>
        </is>
      </c>
      <c r="E7" s="7" t="inlineStr">
        <is>
          <t>Moderate</t>
        </is>
      </c>
      <c r="F7" s="3" t="inlineStr">
        <is>
          <t>https://www.bringfido.com/resource/veterinarians/</t>
        </is>
      </c>
      <c r="G7" s="3" t="inlineStr">
        <is>
          <t>Use 'Post a Spot' feature &gt; submit business &gt; reviewed in 5-7 days</t>
        </is>
      </c>
      <c r="H7" s="3" t="inlineStr">
        <is>
          <t>bringfido.com</t>
        </is>
      </c>
      <c r="I7" s="4" t="inlineStr">
        <is>
          <t>Not Started</t>
        </is>
      </c>
      <c r="J7" s="3" t="inlineStr">
        <is>
          <t>Dofollow backlink. Good for visibility to traveling pet owners.</t>
        </is>
      </c>
    </row>
    <row r="8" ht="60" customHeight="1">
      <c r="A8" s="2" t="inlineStr">
        <is>
          <t>P1</t>
        </is>
      </c>
      <c r="B8" s="3" t="inlineStr">
        <is>
          <t>VetLocator.com</t>
        </is>
      </c>
      <c r="C8" s="3" t="inlineStr">
        <is>
          <t>Vet Directory</t>
        </is>
      </c>
      <c r="D8" s="4" t="inlineStr">
        <is>
          <t>Free</t>
        </is>
      </c>
      <c r="E8" s="7" t="inlineStr">
        <is>
          <t>Moderate</t>
        </is>
      </c>
      <c r="F8" s="3" t="inlineStr">
        <is>
          <t>https://www.vetlocator.com/</t>
        </is>
      </c>
      <c r="G8" s="3" t="inlineStr">
        <is>
          <t>Submit clinic through the site (60,000+ vets listed)</t>
        </is>
      </c>
      <c r="H8" s="3" t="inlineStr">
        <is>
          <t>vetlocator.com</t>
        </is>
      </c>
      <c r="I8" s="4" t="inlineStr">
        <is>
          <t>Not Started</t>
        </is>
      </c>
      <c r="J8" s="3" t="inlineStr">
        <is>
          <t>Free niche directory with relevant backlink.</t>
        </is>
      </c>
    </row>
    <row r="9" ht="60" customHeight="1">
      <c r="A9" s="2" t="inlineStr">
        <is>
          <t>P1</t>
        </is>
      </c>
      <c r="B9" s="3" t="inlineStr">
        <is>
          <t>Great Pet Care Vet Finder</t>
        </is>
      </c>
      <c r="C9" s="3" t="inlineStr">
        <is>
          <t>Vet Directory</t>
        </is>
      </c>
      <c r="D9" s="4" t="inlineStr">
        <is>
          <t>Free</t>
        </is>
      </c>
      <c r="E9" s="7" t="inlineStr">
        <is>
          <t>Moderate</t>
        </is>
      </c>
      <c r="F9" s="3" t="inlineStr">
        <is>
          <t>https://vets.greatpetcare.com/</t>
        </is>
      </c>
      <c r="G9" s="3" t="inlineStr">
        <is>
          <t>Search and claim your listing on the site</t>
        </is>
      </c>
      <c r="H9" s="3" t="inlineStr">
        <is>
          <t>vets.greatpetcare.com</t>
        </is>
      </c>
      <c r="I9" s="4" t="inlineStr">
        <is>
          <t>Not Started</t>
        </is>
      </c>
      <c r="J9" s="3" t="inlineStr">
        <is>
          <t>Free to claim. Niche pet care directory.</t>
        </is>
      </c>
    </row>
    <row r="10" ht="60" customHeight="1">
      <c r="A10" s="2" t="inlineStr">
        <is>
          <t>P1</t>
        </is>
      </c>
      <c r="B10" s="3" t="inlineStr">
        <is>
          <t>NewsBreak (Alhambra)</t>
        </is>
      </c>
      <c r="C10" s="3" t="inlineStr">
        <is>
          <t>Local News</t>
        </is>
      </c>
      <c r="D10" s="4" t="inlineStr">
        <is>
          <t>Free</t>
        </is>
      </c>
      <c r="E10" s="8" t="inlineStr">
        <is>
          <t>Moderate-High</t>
        </is>
      </c>
      <c r="F10" s="3" t="inlineStr">
        <is>
          <t>https://www.newsbreak.com/alhambra-ca</t>
        </is>
      </c>
      <c r="G10" s="3" t="inlineStr">
        <is>
          <t>Create free contributor account &gt; publish press release about the move/grand opening</t>
        </is>
      </c>
      <c r="H10" s="3" t="inlineStr">
        <is>
          <t>newsbreak.com</t>
        </is>
      </c>
      <c r="I10" s="4" t="inlineStr">
        <is>
          <t>Not Started</t>
        </is>
      </c>
      <c r="J10" s="3" t="inlineStr">
        <is>
          <t>Local news aggregator. Free to publish. Great for move announcement.</t>
        </is>
      </c>
    </row>
    <row r="11" ht="60" customHeight="1">
      <c r="A11" s="9" t="inlineStr">
        <is>
          <t>P2</t>
        </is>
      </c>
      <c r="B11" s="3" t="inlineStr">
        <is>
          <t>Alhambra Chamber of Commerce</t>
        </is>
      </c>
      <c r="C11" s="3" t="inlineStr">
        <is>
          <t>Chamber</t>
        </is>
      </c>
      <c r="D11" s="4" t="inlineStr">
        <is>
          <t>Paid (membership)</t>
        </is>
      </c>
      <c r="E11" s="6" t="inlineStr">
        <is>
          <t>High</t>
        </is>
      </c>
      <c r="F11" s="3" t="inlineStr">
        <is>
          <t>https://www.alhambrachamber.org/join-us</t>
        </is>
      </c>
      <c r="G11" s="3" t="inlineStr">
        <is>
          <t>Contact chamber &gt; join as member &gt; get directory listing + Around Alhambra feature</t>
        </is>
      </c>
      <c r="H11" s="3" t="inlineStr">
        <is>
          <t>hello@alhambrachamber.org | (626) 282-8481</t>
        </is>
      </c>
      <c r="I11" s="4" t="inlineStr">
        <is>
          <t>Not Started</t>
        </is>
      </c>
      <c r="J11" s="3" t="inlineStr">
        <is>
          <t>Strong local citation. .org domain. Also publishes Around Alhambra monthly.</t>
        </is>
      </c>
    </row>
    <row r="12" ht="60" customHeight="1">
      <c r="A12" s="9" t="inlineStr">
        <is>
          <t>P2</t>
        </is>
      </c>
      <c r="B12" s="3" t="inlineStr">
        <is>
          <t>South Pasadena Chamber</t>
        </is>
      </c>
      <c r="C12" s="3" t="inlineStr">
        <is>
          <t>Chamber</t>
        </is>
      </c>
      <c r="D12" s="4" t="inlineStr">
        <is>
          <t>Paid (membership)</t>
        </is>
      </c>
      <c r="E12" s="6" t="inlineStr">
        <is>
          <t>High</t>
        </is>
      </c>
      <c r="F12" s="3" t="inlineStr">
        <is>
          <t>https://southpasadena.net/</t>
        </is>
      </c>
      <c r="G12" s="3" t="inlineStr">
        <is>
          <t>Join as member &gt; get directory listing</t>
        </is>
      </c>
      <c r="H12" s="3" t="inlineStr">
        <is>
          <t>info@southpasadena.net | (626) 441-2339</t>
        </is>
      </c>
      <c r="I12" s="4" t="inlineStr">
        <is>
          <t>Not Started</t>
        </is>
      </c>
      <c r="J12" s="3" t="inlineStr">
        <is>
          <t>Maintain connection to SP community even after move.</t>
        </is>
      </c>
    </row>
    <row r="13" ht="60" customHeight="1">
      <c r="A13" s="9" t="inlineStr">
        <is>
          <t>P2</t>
        </is>
      </c>
      <c r="B13" s="3" t="inlineStr">
        <is>
          <t>San Gabriel Chamber</t>
        </is>
      </c>
      <c r="C13" s="3" t="inlineStr">
        <is>
          <t>Chamber</t>
        </is>
      </c>
      <c r="D13" s="4" t="inlineStr">
        <is>
          <t>Paid (membership)</t>
        </is>
      </c>
      <c r="E13" s="6" t="inlineStr">
        <is>
          <t>High</t>
        </is>
      </c>
      <c r="F13" s="3" t="inlineStr">
        <is>
          <t>https://sangabrielchamber.org/</t>
        </is>
      </c>
      <c r="G13" s="3" t="inlineStr">
        <is>
          <t>Contact chamber &gt; join &gt; directory listing</t>
        </is>
      </c>
      <c r="H13" s="3" t="inlineStr">
        <is>
          <t>sangabrielchamber.org | 620 W Santa Anita Ave, San Gabriel</t>
        </is>
      </c>
      <c r="I13" s="4" t="inlineStr">
        <is>
          <t>Not Started</t>
        </is>
      </c>
      <c r="J13" s="3" t="inlineStr">
        <is>
          <t>Covers San Gabriel area you serve.</t>
        </is>
      </c>
    </row>
    <row r="14" ht="60" customHeight="1">
      <c r="A14" s="9" t="inlineStr">
        <is>
          <t>P2</t>
        </is>
      </c>
      <c r="B14" s="3" t="inlineStr">
        <is>
          <t>Pasadena Chamber of Commerce</t>
        </is>
      </c>
      <c r="C14" s="3" t="inlineStr">
        <is>
          <t>Chamber</t>
        </is>
      </c>
      <c r="D14" s="4" t="inlineStr">
        <is>
          <t>Paid (membership)</t>
        </is>
      </c>
      <c r="E14" s="6" t="inlineStr">
        <is>
          <t>High</t>
        </is>
      </c>
      <c r="F14" s="3" t="inlineStr">
        <is>
          <t>https://www.pasadena-chamber.org/forms/application-membership</t>
        </is>
      </c>
      <c r="G14" s="3" t="inlineStr">
        <is>
          <t>Submit membership application online</t>
        </is>
      </c>
      <c r="H14" s="3" t="inlineStr">
        <is>
          <t>pasadena-chamber.org</t>
        </is>
      </c>
      <c r="I14" s="4" t="inlineStr">
        <is>
          <t>Not Started</t>
        </is>
      </c>
      <c r="J14" s="3" t="inlineStr">
        <is>
          <t>Large, authoritative local chamber.</t>
        </is>
      </c>
    </row>
    <row r="15" ht="60" customHeight="1">
      <c r="A15" s="9" t="inlineStr">
        <is>
          <t>P2</t>
        </is>
      </c>
      <c r="B15" s="3" t="inlineStr">
        <is>
          <t>Regional Chamber SGV</t>
        </is>
      </c>
      <c r="C15" s="3" t="inlineStr">
        <is>
          <t>Chamber</t>
        </is>
      </c>
      <c r="D15" s="4" t="inlineStr">
        <is>
          <t>Paid (membership)</t>
        </is>
      </c>
      <c r="E15" s="6" t="inlineStr">
        <is>
          <t>High</t>
        </is>
      </c>
      <c r="F15" s="3" t="inlineStr">
        <is>
          <t>https://www.rccsgv.com</t>
        </is>
      </c>
      <c r="G15" s="3" t="inlineStr">
        <is>
          <t>Contact at (626) 810-8476 to join</t>
        </is>
      </c>
      <c r="H15" s="3" t="inlineStr">
        <is>
          <t>(626) 810-8476</t>
        </is>
      </c>
      <c r="I15" s="4" t="inlineStr">
        <is>
          <t>Not Started</t>
        </is>
      </c>
      <c r="J15" s="3" t="inlineStr">
        <is>
          <t>Covers entire San Gabriel Valley region.</t>
        </is>
      </c>
    </row>
    <row r="16" ht="60" customHeight="1">
      <c r="A16" s="10" t="inlineStr">
        <is>
          <t>P3</t>
        </is>
      </c>
      <c r="B16" s="3" t="inlineStr">
        <is>
          <t>AVMA Directory</t>
        </is>
      </c>
      <c r="C16" s="3" t="inlineStr">
        <is>
          <t>Professional Org</t>
        </is>
      </c>
      <c r="D16" s="4" t="inlineStr">
        <is>
          <t>Paid (membership)</t>
        </is>
      </c>
      <c r="E16" s="6" t="inlineStr">
        <is>
          <t>High</t>
        </is>
      </c>
      <c r="F16" s="3" t="inlineStr">
        <is>
          <t>https://www.avma.org/membership</t>
        </is>
      </c>
      <c r="G16" s="3" t="inlineStr">
        <is>
          <t>Become AVMA member &gt; practice appears in Member Directory</t>
        </is>
      </c>
      <c r="H16" s="3" t="inlineStr">
        <is>
          <t>(800) 248-2862 | memberrecords@avma.org</t>
        </is>
      </c>
      <c r="I16" s="4" t="inlineStr">
        <is>
          <t>Not Started</t>
        </is>
      </c>
      <c r="J16" s="3" t="inlineStr">
        <is>
          <t>DA 70+. Requires AVMA membership dues. Check if already a member.</t>
        </is>
      </c>
    </row>
    <row r="17" ht="60" customHeight="1">
      <c r="A17" s="10" t="inlineStr">
        <is>
          <t>P3</t>
        </is>
      </c>
      <c r="B17" s="3" t="inlineStr">
        <is>
          <t>Fear Free Directory</t>
        </is>
      </c>
      <c r="C17" s="3" t="inlineStr">
        <is>
          <t>Certification Directory</t>
        </is>
      </c>
      <c r="D17" s="4" t="inlineStr">
        <is>
          <t>Paid (certification)</t>
        </is>
      </c>
      <c r="E17" s="7" t="inlineStr">
        <is>
          <t>Moderate</t>
        </is>
      </c>
      <c r="F17" s="3" t="inlineStr">
        <is>
          <t>https://directory.fearfree.com/</t>
        </is>
      </c>
      <c r="G17" s="3" t="inlineStr">
        <is>
          <t>Complete Fear Free certification (online modules, 80%+ score, sign pledge)</t>
        </is>
      </c>
      <c r="H17" s="3" t="inlineStr">
        <is>
          <t>certifyme@fearfree.com</t>
        </is>
      </c>
      <c r="I17" s="4" t="inlineStr">
        <is>
          <t>Not Started</t>
        </is>
      </c>
      <c r="J17" s="3" t="inlineStr">
        <is>
          <t>Requires full certification. Good marketing badge + directory listing.</t>
        </is>
      </c>
    </row>
    <row r="18" ht="60" customHeight="1">
      <c r="A18" s="11" t="inlineStr">
        <is>
          <t>P4</t>
        </is>
      </c>
      <c r="B18" s="3" t="inlineStr">
        <is>
          <t>Around Alhambra (feature article)</t>
        </is>
      </c>
      <c r="C18" s="3" t="inlineStr">
        <is>
          <t>Local Publication</t>
        </is>
      </c>
      <c r="D18" s="4" t="inlineStr">
        <is>
          <t>Free (via chamber)</t>
        </is>
      </c>
      <c r="E18" s="8" t="inlineStr">
        <is>
          <t>Moderate-High</t>
        </is>
      </c>
      <c r="F18" s="3" t="inlineStr">
        <is>
          <t>https://aroundalhambra.org/</t>
        </is>
      </c>
      <c r="G18" s="3" t="inlineStr">
        <is>
          <t>Pitch a business spotlight story about SPAH moving to Alhambra</t>
        </is>
      </c>
      <c r="H18" s="3" t="inlineStr">
        <is>
          <t>hello@alhambrachamber.org</t>
        </is>
      </c>
      <c r="I18" s="4" t="inlineStr">
        <is>
          <t>Not Started</t>
        </is>
      </c>
      <c r="J18" s="3" t="inlineStr">
        <is>
          <t>Published by Alhambra Chamber. Contextual backlink from local publication.</t>
        </is>
      </c>
    </row>
    <row r="19" ht="60" customHeight="1">
      <c r="A19" s="11" t="inlineStr">
        <is>
          <t>P4</t>
        </is>
      </c>
      <c r="B19" s="3" t="inlineStr">
        <is>
          <t>Downtown Alhambra</t>
        </is>
      </c>
      <c r="C19" s="3" t="inlineStr">
        <is>
          <t>Local Directory</t>
        </is>
      </c>
      <c r="D19" s="4" t="inlineStr">
        <is>
          <t>Free</t>
        </is>
      </c>
      <c r="E19" s="7" t="inlineStr">
        <is>
          <t>Moderate</t>
        </is>
      </c>
      <c r="F19" s="3" t="inlineStr">
        <is>
          <t>https://www.downtownalhambra.com/</t>
        </is>
      </c>
      <c r="G19" s="3" t="inlineStr">
        <is>
          <t>Contact for business feature / event listing opportunities</t>
        </is>
      </c>
      <c r="H19" s="3" t="inlineStr">
        <is>
          <t>downtownalhambra.com</t>
        </is>
      </c>
      <c r="I19" s="4" t="inlineStr">
        <is>
          <t>Not Started</t>
        </is>
      </c>
      <c r="J19" s="3" t="inlineStr">
        <is>
          <t>Local community site. Good for neighborhood visibility.</t>
        </is>
      </c>
    </row>
    <row r="20" ht="60" customHeight="1">
      <c r="A20" s="11" t="inlineStr">
        <is>
          <t>P4</t>
        </is>
      </c>
      <c r="B20" s="3" t="inlineStr">
        <is>
          <t>ZooDoc</t>
        </is>
      </c>
      <c r="C20" s="3" t="inlineStr">
        <is>
          <t>Booking Platform</t>
        </is>
      </c>
      <c r="D20" s="4" t="inlineStr">
        <is>
          <t>Free</t>
        </is>
      </c>
      <c r="E20" s="12" t="inlineStr">
        <is>
          <t>Low-Moderate</t>
        </is>
      </c>
      <c r="F20" s="3" t="inlineStr">
        <is>
          <t>https://zoodoc.org/</t>
        </is>
      </c>
      <c r="G20" s="3" t="inlineStr">
        <is>
          <t>Register as a provider on zoodoc.org</t>
        </is>
      </c>
      <c r="H20" s="3" t="inlineStr">
        <is>
          <t>zoodoc.org</t>
        </is>
      </c>
      <c r="I20" s="4" t="inlineStr">
        <is>
          <t>Not Started</t>
        </is>
      </c>
      <c r="J20" s="3" t="inlineStr">
        <is>
          <t>Growing platform. 'Zocdoc for pets.' Worth claiming early.</t>
        </is>
      </c>
    </row>
    <row r="21" ht="60" customHeight="1">
      <c r="A21" s="11" t="inlineStr">
        <is>
          <t>P4</t>
        </is>
      </c>
      <c r="B21" s="3" t="inlineStr">
        <is>
          <t>Petworks</t>
        </is>
      </c>
      <c r="C21" s="3" t="inlineStr">
        <is>
          <t>Booking Platform</t>
        </is>
      </c>
      <c r="D21" s="4" t="inlineStr">
        <is>
          <t>Free</t>
        </is>
      </c>
      <c r="E21" s="12" t="inlineStr">
        <is>
          <t>Low-Moderate</t>
        </is>
      </c>
      <c r="F21" s="3" t="inlineStr">
        <is>
          <t>https://www.petworks.com/</t>
        </is>
      </c>
      <c r="G21" s="3" t="inlineStr">
        <is>
          <t>Create provider profile on petworks.com</t>
        </is>
      </c>
      <c r="H21" s="3" t="inlineStr">
        <is>
          <t>petworks.com</t>
        </is>
      </c>
      <c r="I21" s="4" t="inlineStr">
        <is>
          <t>Not Started</t>
        </is>
      </c>
      <c r="J21" s="3" t="inlineStr">
        <is>
          <t>Browse/book appointments platform. Free profile.</t>
        </is>
      </c>
    </row>
    <row r="22" ht="60" customHeight="1">
      <c r="A22" s="11" t="inlineStr">
        <is>
          <t>P4</t>
        </is>
      </c>
      <c r="B22" s="3" t="inlineStr">
        <is>
          <t>Thumbtack</t>
        </is>
      </c>
      <c r="C22" s="3" t="inlineStr">
        <is>
          <t>Service Directory</t>
        </is>
      </c>
      <c r="D22" s="4" t="inlineStr">
        <is>
          <t>Free (pay-per-lead)</t>
        </is>
      </c>
      <c r="E22" s="12" t="inlineStr">
        <is>
          <t>Low-Moderate</t>
        </is>
      </c>
      <c r="F22" s="3" t="inlineStr">
        <is>
          <t>https://www.thumbtack.com/</t>
        </is>
      </c>
      <c r="G22" s="3" t="inlineStr">
        <is>
          <t>Create professional profile &gt; get reviews for visibility</t>
        </is>
      </c>
      <c r="H22" s="3" t="inlineStr">
        <is>
          <t>thumbtack.com</t>
        </is>
      </c>
      <c r="I22" s="4" t="inlineStr">
        <is>
          <t>Not Started</t>
        </is>
      </c>
      <c r="J22" s="3" t="inlineStr">
        <is>
          <t>Not primary vet directory but high DA. Free to list.</t>
        </is>
      </c>
    </row>
    <row r="24">
      <c r="A24" s="13" t="inlineStr">
        <is>
          <t>SUMMARY</t>
        </is>
      </c>
    </row>
    <row r="25">
      <c r="A25" s="14" t="inlineStr">
        <is>
          <t>Total Opportunities:</t>
        </is>
      </c>
      <c r="B25" s="15">
        <f>COUNTA(I2:I22)</f>
        <v/>
      </c>
    </row>
    <row r="26">
      <c r="A26" s="14" t="inlineStr">
        <is>
          <t>Free:</t>
        </is>
      </c>
      <c r="B26" s="15">
        <f>COUNTIF(D2:D22,"Free")</f>
        <v/>
      </c>
    </row>
    <row r="27">
      <c r="A27" s="14" t="inlineStr">
        <is>
          <t>Paid:</t>
        </is>
      </c>
      <c r="B27" s="15">
        <f>COUNTIFS(D2:D22,"Paid*")</f>
        <v/>
      </c>
    </row>
    <row r="28">
      <c r="A28" s="14" t="inlineStr">
        <is>
          <t>Submitted/Live:</t>
        </is>
      </c>
      <c r="B28" s="15">
        <f>COUNTIF(I2:I22,"Submitted")+COUNTIF(I2:I22,"Live")</f>
        <v/>
      </c>
    </row>
    <row r="29">
      <c r="A29" s="14" t="inlineStr">
        <is>
          <t>Not Started:</t>
        </is>
      </c>
      <c r="B29" s="15">
        <f>COUNTIF(I2:I22,"Not Started")</f>
        <v/>
      </c>
    </row>
  </sheetData>
  <autoFilter ref="A1:J22"/>
  <dataValidations count="1">
    <dataValidation sqref="I2 I3 I4 I5 I6 I7 I8 I9 I10 I11 I12 I13 I14 I15 I16 I17 I18 I19 I20 I21 I22" showDropDown="0" showInputMessage="0" showErrorMessage="0" allowBlank="1" type="list">
      <formula1>"Not Started,In Progress,Submitted,Live,Skipped"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6" t="inlineStr">
        <is>
          <t>Site</t>
        </is>
      </c>
      <c r="B1" s="16" t="inlineStr">
        <is>
          <t>Linking Pages</t>
        </is>
      </c>
      <c r="C1" s="16" t="inlineStr">
        <is>
          <t>Target Pages</t>
        </is>
      </c>
      <c r="D1" s="16" t="inlineStr">
        <is>
          <t>Quality</t>
        </is>
      </c>
      <c r="E1" s="16" t="inlineStr">
        <is>
          <t>Action Needed</t>
        </is>
      </c>
    </row>
    <row r="2">
      <c r="A2" s="3" t="inlineStr">
        <is>
          <t>reddit.com</t>
        </is>
      </c>
      <c r="B2" s="4" t="n">
        <v>26</v>
      </c>
      <c r="C2" s="4" t="n">
        <v>3</v>
      </c>
      <c r="D2" s="5" t="inlineStr">
        <is>
          <t>Good</t>
        </is>
      </c>
      <c r="E2" s="3" t="inlineStr">
        <is>
          <t>Keep engaging in local subreddits (r/pasadena, r/alhambra, r/LosAngeles)</t>
        </is>
      </c>
    </row>
    <row r="3">
      <c r="A3" s="3" t="inlineStr">
        <is>
          <t>guide.in.ua</t>
        </is>
      </c>
      <c r="B3" s="4" t="n">
        <v>4</v>
      </c>
      <c r="C3" s="4" t="n">
        <v>1</v>
      </c>
      <c r="D3" s="17" t="inlineStr">
        <is>
          <t>Spam</t>
        </is>
      </c>
      <c r="E3" s="3" t="inlineStr">
        <is>
          <t>Ignore - low quality foreign domain</t>
        </is>
      </c>
    </row>
    <row r="4">
      <c r="A4" s="3" t="inlineStr">
        <is>
          <t>luke.lol</t>
        </is>
      </c>
      <c r="B4" s="4" t="n">
        <v>3</v>
      </c>
      <c r="C4" s="4" t="n">
        <v>3</v>
      </c>
      <c r="D4" s="17" t="inlineStr">
        <is>
          <t>Spam</t>
        </is>
      </c>
      <c r="E4" s="3" t="inlineStr">
        <is>
          <t>Ignore - low quality domain</t>
        </is>
      </c>
    </row>
    <row r="5">
      <c r="A5" s="3" t="inlineStr">
        <is>
          <t>mapquest.com</t>
        </is>
      </c>
      <c r="B5" s="4" t="n">
        <v>2</v>
      </c>
      <c r="C5" s="4" t="n">
        <v>1</v>
      </c>
      <c r="D5" s="5" t="inlineStr">
        <is>
          <t>Good</t>
        </is>
      </c>
      <c r="E5" s="3" t="inlineStr">
        <is>
          <t>Update address to Alhambra location</t>
        </is>
      </c>
    </row>
    <row r="6">
      <c r="A6" s="3" t="inlineStr">
        <is>
          <t>mycritters.com</t>
        </is>
      </c>
      <c r="B6" s="4" t="n">
        <v>2</v>
      </c>
      <c r="C6" s="4" t="n">
        <v>2</v>
      </c>
      <c r="D6" s="5" t="inlineStr">
        <is>
          <t>Good</t>
        </is>
      </c>
      <c r="E6" s="3" t="inlineStr">
        <is>
          <t>Niche pet directory - verify listing is current</t>
        </is>
      </c>
    </row>
    <row r="7">
      <c r="A7" s="3" t="inlineStr">
        <is>
          <t>petinsurancereview.com</t>
        </is>
      </c>
      <c r="B7" s="4" t="n">
        <v>2</v>
      </c>
      <c r="C7" s="4" t="n">
        <v>1</v>
      </c>
      <c r="D7" s="5" t="inlineStr">
        <is>
          <t>Good</t>
        </is>
      </c>
      <c r="E7" s="3" t="inlineStr">
        <is>
          <t>Pet niche - verify listing info</t>
        </is>
      </c>
    </row>
    <row r="8">
      <c r="A8" s="3" t="inlineStr">
        <is>
          <t>bunchiaburrow.com</t>
        </is>
      </c>
      <c r="B8" s="4" t="n">
        <v>1</v>
      </c>
      <c r="C8" s="4" t="n">
        <v>1</v>
      </c>
      <c r="D8" s="7" t="inlineStr">
        <is>
          <t>Neutral</t>
        </is>
      </c>
      <c r="E8" s="3" t="inlineStr">
        <is>
          <t>Small pet site - no action needed</t>
        </is>
      </c>
    </row>
    <row r="9">
      <c r="A9" s="3" t="inlineStr">
        <is>
          <t>carecredit.com</t>
        </is>
      </c>
      <c r="B9" s="4" t="n">
        <v>1</v>
      </c>
      <c r="C9" s="4" t="n">
        <v>1</v>
      </c>
      <c r="D9" s="5" t="inlineStr">
        <is>
          <t>Good</t>
        </is>
      </c>
      <c r="E9" s="3" t="inlineStr">
        <is>
          <t>High DA - verify provider listing has new address</t>
        </is>
      </c>
    </row>
    <row r="10">
      <c r="A10" s="3" t="inlineStr">
        <is>
          <t>catposse.org</t>
        </is>
      </c>
      <c r="B10" s="4" t="n">
        <v>1</v>
      </c>
      <c r="C10" s="4" t="n">
        <v>1</v>
      </c>
      <c r="D10" s="5" t="inlineStr">
        <is>
          <t>Good</t>
        </is>
      </c>
      <c r="E10" s="3" t="inlineStr">
        <is>
          <t>Cat rescue org - maintain relationship</t>
        </is>
      </c>
    </row>
    <row r="11">
      <c r="A11" s="3" t="inlineStr">
        <is>
          <t>catvetfinder.com</t>
        </is>
      </c>
      <c r="B11" s="4" t="n">
        <v>1</v>
      </c>
      <c r="C11" s="4" t="n">
        <v>1</v>
      </c>
      <c r="D11" s="5" t="inlineStr">
        <is>
          <t>Good</t>
        </is>
      </c>
      <c r="E11" s="3" t="inlineStr">
        <is>
          <t>Vet directory - update address</t>
        </is>
      </c>
    </row>
    <row r="12">
      <c r="A12" s="3" t="inlineStr">
        <is>
          <t>dogtrainermanhattan.com</t>
        </is>
      </c>
      <c r="B12" s="4" t="n">
        <v>1</v>
      </c>
      <c r="C12" s="4" t="n">
        <v>1</v>
      </c>
      <c r="D12" s="7" t="inlineStr">
        <is>
          <t>Neutral</t>
        </is>
      </c>
      <c r="E12" s="3" t="inlineStr">
        <is>
          <t>Out of area - no action needed</t>
        </is>
      </c>
    </row>
    <row r="13">
      <c r="A13" s="3" t="inlineStr">
        <is>
          <t>getlocalverified.com</t>
        </is>
      </c>
      <c r="B13" s="4" t="n">
        <v>1</v>
      </c>
      <c r="C13" s="4" t="n">
        <v>1</v>
      </c>
      <c r="D13" s="7" t="inlineStr">
        <is>
          <t>Neutral</t>
        </is>
      </c>
      <c r="E13" s="3" t="inlineStr">
        <is>
          <t>Local directory - verify listing</t>
        </is>
      </c>
    </row>
    <row r="14">
      <c r="A14" s="3" t="inlineStr">
        <is>
          <t>nextdoor.com</t>
        </is>
      </c>
      <c r="B14" s="4" t="n">
        <v>1</v>
      </c>
      <c r="C14" s="4" t="n">
        <v>1</v>
      </c>
      <c r="D14" s="5" t="inlineStr">
        <is>
          <t>Good</t>
        </is>
      </c>
      <c r="E14" s="3" t="inlineStr">
        <is>
          <t>Strong local signal - keep Nextdoor profile active</t>
        </is>
      </c>
    </row>
    <row r="15">
      <c r="A15" s="3" t="inlineStr">
        <is>
          <t>poultrydvm.com</t>
        </is>
      </c>
      <c r="B15" s="4" t="n">
        <v>1</v>
      </c>
      <c r="C15" s="4" t="n">
        <v>1</v>
      </c>
      <c r="D15" s="5" t="inlineStr">
        <is>
          <t>Good</t>
        </is>
      </c>
      <c r="E15" s="3" t="inlineStr">
        <is>
          <t>Exotic/poultry vet directory - great niche link</t>
        </is>
      </c>
    </row>
    <row r="16">
      <c r="A16" s="3" t="inlineStr">
        <is>
          <t>topvet.net</t>
        </is>
      </c>
      <c r="B16" s="4" t="n">
        <v>1</v>
      </c>
      <c r="C16" s="4" t="n">
        <v>1</v>
      </c>
      <c r="D16" s="5" t="inlineStr">
        <is>
          <t>Good</t>
        </is>
      </c>
      <c r="E16" s="3" t="inlineStr">
        <is>
          <t>Vet directory - verify listing</t>
        </is>
      </c>
    </row>
    <row r="17">
      <c r="A17" s="3" t="inlineStr">
        <is>
          <t>veterinarioscercademi.net</t>
        </is>
      </c>
      <c r="B17" s="4" t="n">
        <v>1</v>
      </c>
      <c r="C17" s="4" t="n">
        <v>1</v>
      </c>
      <c r="D17" s="17" t="inlineStr">
        <is>
          <t>Spam</t>
        </is>
      </c>
      <c r="E17" s="3" t="inlineStr">
        <is>
          <t>Foreign domain - ignore</t>
        </is>
      </c>
    </row>
    <row r="18">
      <c r="A18" s="3" t="inlineStr">
        <is>
          <t>z1biz.com</t>
        </is>
      </c>
      <c r="B18" s="4" t="n">
        <v>1</v>
      </c>
      <c r="C18" s="4" t="n">
        <v>1</v>
      </c>
      <c r="D18" s="7" t="inlineStr">
        <is>
          <t>Neutral</t>
        </is>
      </c>
      <c r="E18" s="3" t="inlineStr">
        <is>
          <t>Small business directory - no action needed</t>
        </is>
      </c>
    </row>
    <row r="20">
      <c r="A20" s="13" t="inlineStr">
        <is>
          <t>BACKLINK SUMMARY</t>
        </is>
      </c>
    </row>
    <row r="21">
      <c r="A21" s="14" t="inlineStr">
        <is>
          <t>Total External Links:</t>
        </is>
      </c>
      <c r="B21" s="15" t="n">
        <v>50</v>
      </c>
    </row>
    <row r="22">
      <c r="A22" s="14" t="inlineStr">
        <is>
          <t>Good Quality:</t>
        </is>
      </c>
      <c r="B22" s="15">
        <f>COUNTIF(D2:D18,"Good")</f>
        <v/>
      </c>
    </row>
    <row r="23">
      <c r="A23" s="14" t="inlineStr">
        <is>
          <t>Spam/Low Quality:</t>
        </is>
      </c>
      <c r="B23" s="15">
        <f>COUNTIF(D2:D18,"Spam")</f>
        <v/>
      </c>
    </row>
    <row r="24">
      <c r="A24" s="14" t="inlineStr">
        <is>
          <t>Need Address Update:</t>
        </is>
      </c>
      <c r="B24" s="15" t="n">
        <v>4</v>
      </c>
      <c r="C24" s="18" t="inlineStr">
        <is>
          <t>mapquest, carecredit, catvetfinder, topvet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2026-03-30T01:59:12Z</dcterms:created>
  <dcterms:modified xsi:type="dcterms:W3CDTF">2026-03-30T01:59:12Z</dcterms:modified>
</cp:coreProperties>
</file>