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chia\Documents\SPAH-website\"/>
    </mc:Choice>
  </mc:AlternateContent>
  <xr:revisionPtr revIDLastSave="0" documentId="13_ncr:1_{E0CA4CE1-FC8C-408A-9966-186D05B690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itation Tracker" sheetId="1" r:id="rId1"/>
  </sheets>
  <definedNames>
    <definedName name="_xlnm._FilterDatabase" localSheetId="0" hidden="1">'Citation Tracker'!$A$1:$I$26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33" i="1" l="1"/>
</calcChain>
</file>

<file path=xl/sharedStrings.xml><?xml version="1.0" encoding="utf-8"?>
<sst xmlns="http://schemas.openxmlformats.org/spreadsheetml/2006/main" count="215" uniqueCount="101">
  <si>
    <t>Priority</t>
  </si>
  <si>
    <t>Platform</t>
  </si>
  <si>
    <t>Current Address Listed</t>
  </si>
  <si>
    <t>Phone Issue</t>
  </si>
  <si>
    <t>URL to Update</t>
  </si>
  <si>
    <t>How to Update</t>
  </si>
  <si>
    <t>Deadline</t>
  </si>
  <si>
    <t>Status</t>
  </si>
  <si>
    <t>Notes</t>
  </si>
  <si>
    <t>P1</t>
  </si>
  <si>
    <t>Google Business Profile</t>
  </si>
  <si>
    <t>1911 Fremont Ave, South Pasadena, CA 91030</t>
  </si>
  <si>
    <t>Correct</t>
  </si>
  <si>
    <t>Search 'Google Business Profile' &gt; Edit &gt; Update address</t>
  </si>
  <si>
    <t>Apr 1</t>
  </si>
  <si>
    <t>Not Started</t>
  </si>
  <si>
    <t>MOST IMPORTANT - update on move day</t>
  </si>
  <si>
    <t>Yelp</t>
  </si>
  <si>
    <t>https://biz.yelp.com</t>
  </si>
  <si>
    <t>Log in to Yelp for Business &gt; Edit Business Info</t>
  </si>
  <si>
    <t>Apple Maps (Apple Business Connect)</t>
  </si>
  <si>
    <t>https://businessconnect.apple.com</t>
  </si>
  <si>
    <t>Claim/update via Apple Business Connect</t>
  </si>
  <si>
    <t>Bing Places</t>
  </si>
  <si>
    <t>https://www.bingplaces.com</t>
  </si>
  <si>
    <t>Log in &gt; Edit listing &gt; Update address</t>
  </si>
  <si>
    <t>P2</t>
  </si>
  <si>
    <t>Facebook Page</t>
  </si>
  <si>
    <t>Page Settings &gt; Edit Page Info &gt; Address</t>
  </si>
  <si>
    <t>Apr 3</t>
  </si>
  <si>
    <t>Instagram Business</t>
  </si>
  <si>
    <t>Edit Profile &gt; Business Address</t>
  </si>
  <si>
    <t>Nextdoor Business Page</t>
  </si>
  <si>
    <t>Business dashboard &gt; Edit profile</t>
  </si>
  <si>
    <t>Waze</t>
  </si>
  <si>
    <t>Update via Google Business Profile (syncs)</t>
  </si>
  <si>
    <t>Usually syncs from GBP</t>
  </si>
  <si>
    <t>P3</t>
  </si>
  <si>
    <t>Yellow Pages (YP.com)</t>
  </si>
  <si>
    <t>WRONG: (626) 441-8002</t>
  </si>
  <si>
    <t>https://www.yellowpages.com</t>
  </si>
  <si>
    <t>Claim listing &gt; Update address + phone</t>
  </si>
  <si>
    <t>Apr 7</t>
  </si>
  <si>
    <t>Phone number is WRONG - fix ASAP</t>
  </si>
  <si>
    <t>Superpages</t>
  </si>
  <si>
    <t>https://www.superpages.com</t>
  </si>
  <si>
    <t>Claim listing &gt; Update (syncs with YP)</t>
  </si>
  <si>
    <t>Phone number is WRONG</t>
  </si>
  <si>
    <t>MapQuest</t>
  </si>
  <si>
    <t>https://www.mapquest.com</t>
  </si>
  <si>
    <t>Submit update request</t>
  </si>
  <si>
    <t>Foursquare</t>
  </si>
  <si>
    <t>https://foursquare.com</t>
  </si>
  <si>
    <t>Claim venue &gt; Edit details</t>
  </si>
  <si>
    <t>Feeds data to Uber, Twitter, etc.</t>
  </si>
  <si>
    <t>Pawlicy Advisor</t>
  </si>
  <si>
    <t>WRONG: Lists wrong #</t>
  </si>
  <si>
    <t>https://www.pawlicy.com</t>
  </si>
  <si>
    <t>Contact support to update listing</t>
  </si>
  <si>
    <t>PetDesk</t>
  </si>
  <si>
    <t>Contact PetDesk support or update in app</t>
  </si>
  <si>
    <t>P4</t>
  </si>
  <si>
    <t>Healthgrades (for vets)</t>
  </si>
  <si>
    <t>Claim profile &gt; Update</t>
  </si>
  <si>
    <t>Apr 14</t>
  </si>
  <si>
    <t>Vitals.com</t>
  </si>
  <si>
    <t>Manta</t>
  </si>
  <si>
    <t>https://www.manta.com</t>
  </si>
  <si>
    <t>Claim listing &gt; Update</t>
  </si>
  <si>
    <t>Hotfrog</t>
  </si>
  <si>
    <t>https://www.hotfrog.com</t>
  </si>
  <si>
    <t>Add/claim business &gt; Update</t>
  </si>
  <si>
    <t>Chamberofcommerce.com</t>
  </si>
  <si>
    <t>BBB (Better Business Bureau)</t>
  </si>
  <si>
    <t>https://www.bbb.org</t>
  </si>
  <si>
    <t>Contact BBB to update listing</t>
  </si>
  <si>
    <t>P5</t>
  </si>
  <si>
    <t>Data Axle (Infogroup)</t>
  </si>
  <si>
    <t>https://www.dataaxle.com</t>
  </si>
  <si>
    <t>Submit update - feeds 100+ directories</t>
  </si>
  <si>
    <t>UPDATE EARLY - cascades to many sites</t>
  </si>
  <si>
    <t>Neustar/Localeze</t>
  </si>
  <si>
    <t>https://www.neustarlocaleze.biz</t>
  </si>
  <si>
    <t>Submit update - major data aggregator</t>
  </si>
  <si>
    <t>UPDATE EARLY - cascades</t>
  </si>
  <si>
    <t>Factual (Foursquare)</t>
  </si>
  <si>
    <t>Same as Foursquare - submit correction</t>
  </si>
  <si>
    <t>Merged with Foursquare</t>
  </si>
  <si>
    <t>Acxiom</t>
  </si>
  <si>
    <t>Submit via their portal</t>
  </si>
  <si>
    <t>Angie's List</t>
  </si>
  <si>
    <t>https://www.angi.com</t>
  </si>
  <si>
    <t>Claim/update business profile</t>
  </si>
  <si>
    <t>Now called Angi</t>
  </si>
  <si>
    <t>SUMMARY</t>
  </si>
  <si>
    <t>Total Listings:</t>
  </si>
  <si>
    <t>Completed:</t>
  </si>
  <si>
    <t>In Progress:</t>
  </si>
  <si>
    <t>Not Started:</t>
  </si>
  <si>
    <t>Completion %: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</si>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</sst>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C0000"/>
      <name val="Arial"/>
    </font>
    <font>
      <b/>
      <sz val="12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4.5" x14ac:dyDescent="0.35"/>
  <cols>
    <col min="1" max="1" width="10" customWidth="1"/>
    <col min="2" max="2" width="22" customWidth="1"/>
    <col min="3" max="3" width="30" customWidth="1"/>
    <col min="4" max="4" width="18" customWidth="1"/>
    <col min="5" max="5" width="45" customWidth="1"/>
    <col min="6" max="6" width="30" customWidth="1"/>
    <col min="7" max="8" width="14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x14ac:dyDescent="0.35">
      <c r="A2" s="2" t="s">
        <v>9</v>
      </c>
      <c r="B2" s="2" t="s">
        <v>10</v>
      </c>
      <c r="C2" s="3" t="s">
        <v>11</v>
      </c>
      <c r="D2" s="3" t="s">
        <v>12</v>
      </c>
      <c r="E2" s="3"/>
      <c r="F2" s="3" t="s">
        <v>13</v>
      </c>
      <c r="G2" s="3" t="s">
        <v>14</v>
      </c>
      <c r="H2" s="3" t="s">
        <v>100</v>
      </c>
      <c r="I2" s="3" t="s">
        <v>16</v>
      </c>
    </row>
    <row r="3" spans="1:9" ht="25" x14ac:dyDescent="0.35">
      <c r="A3" s="2" t="s">
        <v>9</v>
      </c>
      <c r="B3" s="2" t="s">
        <v>17</v>
      </c>
      <c r="C3" s="3" t="s">
        <v>11</v>
      </c>
      <c r="D3" s="3" t="s">
        <v>12</v>
      </c>
      <c r="E3" s="3" t="s">
        <v>18</v>
      </c>
      <c r="F3" s="3" t="s">
        <v>19</v>
      </c>
      <c r="G3" s="3" t="s">
        <v>14</v>
      </c>
      <c r="H3" s="3" t="s">
        <v>100</v>
      </c>
      <c r="I3" s="3"/>
    </row>
    <row r="4" spans="1:9" ht="25" x14ac:dyDescent="0.35">
      <c r="A4" s="2" t="s">
        <v>9</v>
      </c>
      <c r="B4" s="2" t="s">
        <v>20</v>
      </c>
      <c r="C4" s="3" t="s">
        <v>11</v>
      </c>
      <c r="D4" s="3" t="s">
        <v>12</v>
      </c>
      <c r="E4" s="3" t="s">
        <v>21</v>
      </c>
      <c r="F4" s="3" t="s">
        <v>22</v>
      </c>
      <c r="G4" s="3" t="s">
        <v>14</v>
      </c>
      <c r="H4" s="3" t="s">
        <v>100</v>
      </c>
      <c r="I4" s="3"/>
    </row>
    <row r="5" spans="1:9" ht="25" x14ac:dyDescent="0.35">
      <c r="A5" s="2" t="s">
        <v>9</v>
      </c>
      <c r="B5" s="2" t="s">
        <v>23</v>
      </c>
      <c r="C5" s="3" t="s">
        <v>11</v>
      </c>
      <c r="D5" s="3" t="s">
        <v>12</v>
      </c>
      <c r="E5" s="3" t="s">
        <v>24</v>
      </c>
      <c r="F5" s="3" t="s">
        <v>25</v>
      </c>
      <c r="G5" s="3" t="s">
        <v>14</v>
      </c>
      <c r="H5" s="3" t="s">
        <v>100</v>
      </c>
      <c r="I5" s="3"/>
    </row>
    <row r="6" spans="1:9" ht="25" x14ac:dyDescent="0.35">
      <c r="A6" s="4" t="s">
        <v>26</v>
      </c>
      <c r="B6" s="4" t="s">
        <v>27</v>
      </c>
      <c r="C6" s="3" t="s">
        <v>11</v>
      </c>
      <c r="D6" s="3" t="s">
        <v>12</v>
      </c>
      <c r="E6" s="3"/>
      <c r="F6" s="3" t="s">
        <v>28</v>
      </c>
      <c r="G6" s="3" t="s">
        <v>29</v>
      </c>
      <c r="H6" s="3" t="s">
        <v>100</v>
      </c>
      <c r="I6" s="3"/>
    </row>
    <row r="7" spans="1:9" ht="25" x14ac:dyDescent="0.35">
      <c r="A7" s="4" t="s">
        <v>26</v>
      </c>
      <c r="B7" s="4" t="s">
        <v>30</v>
      </c>
      <c r="C7" s="3" t="s">
        <v>11</v>
      </c>
      <c r="D7" s="3" t="s">
        <v>12</v>
      </c>
      <c r="E7" s="3"/>
      <c r="F7" s="3" t="s">
        <v>31</v>
      </c>
      <c r="G7" s="3" t="s">
        <v>29</v>
      </c>
      <c r="H7" s="3" t="s">
        <v>100</v>
      </c>
      <c r="I7" s="3"/>
    </row>
    <row r="8" spans="1:9" ht="25" x14ac:dyDescent="0.35">
      <c r="A8" s="4" t="s">
        <v>26</v>
      </c>
      <c r="B8" s="4" t="s">
        <v>32</v>
      </c>
      <c r="C8" s="3" t="s">
        <v>11</v>
      </c>
      <c r="D8" s="3" t="s">
        <v>12</v>
      </c>
      <c r="E8" s="3"/>
      <c r="F8" s="3" t="s">
        <v>33</v>
      </c>
      <c r="G8" s="3" t="s">
        <v>29</v>
      </c>
      <c r="H8" s="3" t="s">
        <v>15</v>
      </c>
      <c r="I8" s="3"/>
    </row>
    <row r="9" spans="1:9" ht="25" x14ac:dyDescent="0.35">
      <c r="A9" s="4" t="s">
        <v>26</v>
      </c>
      <c r="B9" s="4" t="s">
        <v>34</v>
      </c>
      <c r="C9" s="3" t="s">
        <v>11</v>
      </c>
      <c r="D9" s="3" t="s">
        <v>12</v>
      </c>
      <c r="E9" s="3"/>
      <c r="F9" s="3" t="s">
        <v>35</v>
      </c>
      <c r="G9" s="3" t="s">
        <v>29</v>
      </c>
      <c r="H9" s="3" t="s">
        <v>15</v>
      </c>
      <c r="I9" s="3" t="s">
        <v>36</v>
      </c>
    </row>
    <row r="10" spans="1:9" ht="26" x14ac:dyDescent="0.35">
      <c r="A10" s="5" t="s">
        <v>37</v>
      </c>
      <c r="B10" s="5" t="s">
        <v>38</v>
      </c>
      <c r="C10" s="3" t="s">
        <v>11</v>
      </c>
      <c r="D10" s="6" t="s">
        <v>39</v>
      </c>
      <c r="E10" s="3" t="s">
        <v>40</v>
      </c>
      <c r="F10" s="3" t="s">
        <v>41</v>
      </c>
      <c r="G10" s="3" t="s">
        <v>42</v>
      </c>
      <c r="H10" s="3" t="s">
        <v>15</v>
      </c>
      <c r="I10" s="3" t="s">
        <v>43</v>
      </c>
    </row>
    <row r="11" spans="1:9" ht="26" x14ac:dyDescent="0.35">
      <c r="A11" s="5" t="s">
        <v>37</v>
      </c>
      <c r="B11" s="5" t="s">
        <v>44</v>
      </c>
      <c r="C11" s="3" t="s">
        <v>11</v>
      </c>
      <c r="D11" s="6" t="s">
        <v>39</v>
      </c>
      <c r="E11" s="3" t="s">
        <v>45</v>
      </c>
      <c r="F11" s="3" t="s">
        <v>46</v>
      </c>
      <c r="G11" s="3" t="s">
        <v>42</v>
      </c>
      <c r="H11" s="3" t="s">
        <v>15</v>
      </c>
      <c r="I11" s="3" t="s">
        <v>47</v>
      </c>
    </row>
    <row r="12" spans="1:9" ht="25" x14ac:dyDescent="0.35">
      <c r="A12" s="5" t="s">
        <v>37</v>
      </c>
      <c r="B12" s="5" t="s">
        <v>48</v>
      </c>
      <c r="C12" s="3" t="s">
        <v>11</v>
      </c>
      <c r="D12" s="3" t="s">
        <v>12</v>
      </c>
      <c r="E12" s="3" t="s">
        <v>49</v>
      </c>
      <c r="F12" s="3" t="s">
        <v>50</v>
      </c>
      <c r="G12" s="3" t="s">
        <v>42</v>
      </c>
      <c r="H12" s="3" t="s">
        <v>15</v>
      </c>
      <c r="I12" s="3"/>
    </row>
    <row r="13" spans="1:9" ht="25" x14ac:dyDescent="0.35">
      <c r="A13" s="5" t="s">
        <v>37</v>
      </c>
      <c r="B13" s="5" t="s">
        <v>51</v>
      </c>
      <c r="C13" s="3" t="s">
        <v>11</v>
      </c>
      <c r="D13" s="3" t="s">
        <v>12</v>
      </c>
      <c r="E13" s="3" t="s">
        <v>52</v>
      </c>
      <c r="F13" s="3" t="s">
        <v>53</v>
      </c>
      <c r="G13" s="3" t="s">
        <v>42</v>
      </c>
      <c r="H13" s="3" t="s">
        <v>15</v>
      </c>
      <c r="I13" s="3" t="s">
        <v>54</v>
      </c>
    </row>
    <row r="14" spans="1:9" ht="26" x14ac:dyDescent="0.35">
      <c r="A14" s="5" t="s">
        <v>37</v>
      </c>
      <c r="B14" s="5" t="s">
        <v>55</v>
      </c>
      <c r="C14" s="3" t="s">
        <v>11</v>
      </c>
      <c r="D14" s="6" t="s">
        <v>56</v>
      </c>
      <c r="E14" s="3" t="s">
        <v>57</v>
      </c>
      <c r="F14" s="3" t="s">
        <v>58</v>
      </c>
      <c r="G14" s="3" t="s">
        <v>42</v>
      </c>
      <c r="H14" s="3" t="s">
        <v>15</v>
      </c>
      <c r="I14" s="3" t="s">
        <v>47</v>
      </c>
    </row>
    <row r="15" spans="1:9" ht="25" x14ac:dyDescent="0.35">
      <c r="A15" s="5" t="s">
        <v>37</v>
      </c>
      <c r="B15" s="5" t="s">
        <v>59</v>
      </c>
      <c r="C15" s="3" t="s">
        <v>11</v>
      </c>
      <c r="D15" s="3" t="s">
        <v>12</v>
      </c>
      <c r="E15" s="3"/>
      <c r="F15" s="3" t="s">
        <v>60</v>
      </c>
      <c r="G15" s="3" t="s">
        <v>42</v>
      </c>
      <c r="H15" s="3" t="s">
        <v>15</v>
      </c>
      <c r="I15" s="3"/>
    </row>
    <row r="16" spans="1:9" ht="25" x14ac:dyDescent="0.35">
      <c r="A16" s="7" t="s">
        <v>61</v>
      </c>
      <c r="B16" s="7" t="s">
        <v>62</v>
      </c>
      <c r="C16" s="3" t="s">
        <v>11</v>
      </c>
      <c r="D16" s="3" t="s">
        <v>12</v>
      </c>
      <c r="E16" s="3"/>
      <c r="F16" s="3" t="s">
        <v>63</v>
      </c>
      <c r="G16" s="3" t="s">
        <v>64</v>
      </c>
      <c r="H16" s="3" t="s">
        <v>15</v>
      </c>
      <c r="I16" s="3"/>
    </row>
    <row r="17" spans="1:9" ht="25" x14ac:dyDescent="0.35">
      <c r="A17" s="7" t="s">
        <v>61</v>
      </c>
      <c r="B17" s="7" t="s">
        <v>65</v>
      </c>
      <c r="C17" s="3" t="s">
        <v>11</v>
      </c>
      <c r="D17" s="3" t="s">
        <v>12</v>
      </c>
      <c r="E17" s="3"/>
      <c r="F17" s="3" t="s">
        <v>63</v>
      </c>
      <c r="G17" s="3" t="s">
        <v>64</v>
      </c>
      <c r="H17" s="3" t="s">
        <v>15</v>
      </c>
      <c r="I17" s="3"/>
    </row>
    <row r="18" spans="1:9" ht="25" x14ac:dyDescent="0.35">
      <c r="A18" s="7" t="s">
        <v>61</v>
      </c>
      <c r="B18" s="7" t="s">
        <v>66</v>
      </c>
      <c r="C18" s="3" t="s">
        <v>11</v>
      </c>
      <c r="D18" s="3" t="s">
        <v>12</v>
      </c>
      <c r="E18" s="3" t="s">
        <v>67</v>
      </c>
      <c r="F18" s="3" t="s">
        <v>68</v>
      </c>
      <c r="G18" s="3" t="s">
        <v>64</v>
      </c>
      <c r="H18" s="3" t="s">
        <v>15</v>
      </c>
      <c r="I18" s="3"/>
    </row>
    <row r="19" spans="1:9" ht="25" x14ac:dyDescent="0.35">
      <c r="A19" s="7" t="s">
        <v>61</v>
      </c>
      <c r="B19" s="7" t="s">
        <v>69</v>
      </c>
      <c r="C19" s="3" t="s">
        <v>11</v>
      </c>
      <c r="D19" s="3" t="s">
        <v>12</v>
      </c>
      <c r="E19" s="3" t="s">
        <v>70</v>
      </c>
      <c r="F19" s="3" t="s">
        <v>71</v>
      </c>
      <c r="G19" s="3" t="s">
        <v>64</v>
      </c>
      <c r="H19" s="3" t="s">
        <v>15</v>
      </c>
      <c r="I19" s="3"/>
    </row>
    <row r="20" spans="1:9" ht="25" x14ac:dyDescent="0.35">
      <c r="A20" s="7" t="s">
        <v>61</v>
      </c>
      <c r="B20" s="7" t="s">
        <v>72</v>
      </c>
      <c r="C20" s="3" t="s">
        <v>11</v>
      </c>
      <c r="D20" s="3" t="s">
        <v>12</v>
      </c>
      <c r="E20" s="3"/>
      <c r="F20" s="3" t="s">
        <v>50</v>
      </c>
      <c r="G20" s="3" t="s">
        <v>64</v>
      </c>
      <c r="H20" s="3" t="s">
        <v>15</v>
      </c>
      <c r="I20" s="3"/>
    </row>
    <row r="21" spans="1:9" ht="25" x14ac:dyDescent="0.35">
      <c r="A21" s="7" t="s">
        <v>61</v>
      </c>
      <c r="B21" s="7" t="s">
        <v>73</v>
      </c>
      <c r="C21" s="3" t="s">
        <v>11</v>
      </c>
      <c r="D21" s="3" t="s">
        <v>12</v>
      </c>
      <c r="E21" s="3" t="s">
        <v>74</v>
      </c>
      <c r="F21" s="3" t="s">
        <v>75</v>
      </c>
      <c r="G21" s="3" t="s">
        <v>64</v>
      </c>
      <c r="H21" s="3" t="s">
        <v>15</v>
      </c>
      <c r="I21" s="3"/>
    </row>
    <row r="22" spans="1:9" ht="25" x14ac:dyDescent="0.35">
      <c r="A22" s="8" t="s">
        <v>76</v>
      </c>
      <c r="B22" s="8" t="s">
        <v>77</v>
      </c>
      <c r="C22" s="3" t="s">
        <v>11</v>
      </c>
      <c r="D22" s="3" t="s">
        <v>12</v>
      </c>
      <c r="E22" s="3" t="s">
        <v>78</v>
      </c>
      <c r="F22" s="3" t="s">
        <v>79</v>
      </c>
      <c r="G22" s="3" t="s">
        <v>42</v>
      </c>
      <c r="H22" s="3" t="s">
        <v>15</v>
      </c>
      <c r="I22" s="3" t="s">
        <v>80</v>
      </c>
    </row>
    <row r="23" spans="1:9" ht="25" x14ac:dyDescent="0.35">
      <c r="A23" s="8" t="s">
        <v>76</v>
      </c>
      <c r="B23" s="8" t="s">
        <v>81</v>
      </c>
      <c r="C23" s="3" t="s">
        <v>11</v>
      </c>
      <c r="D23" s="3" t="s">
        <v>12</v>
      </c>
      <c r="E23" s="3" t="s">
        <v>82</v>
      </c>
      <c r="F23" s="3" t="s">
        <v>83</v>
      </c>
      <c r="G23" s="3" t="s">
        <v>42</v>
      </c>
      <c r="H23" s="3" t="s">
        <v>15</v>
      </c>
      <c r="I23" s="3" t="s">
        <v>84</v>
      </c>
    </row>
    <row r="24" spans="1:9" ht="25" x14ac:dyDescent="0.35">
      <c r="A24" s="8" t="s">
        <v>76</v>
      </c>
      <c r="B24" s="8" t="s">
        <v>85</v>
      </c>
      <c r="C24" s="3" t="s">
        <v>11</v>
      </c>
      <c r="D24" s="3" t="s">
        <v>12</v>
      </c>
      <c r="E24" s="3" t="s">
        <v>52</v>
      </c>
      <c r="F24" s="3" t="s">
        <v>86</v>
      </c>
      <c r="G24" s="3" t="s">
        <v>42</v>
      </c>
      <c r="H24" s="3" t="s">
        <v>15</v>
      </c>
      <c r="I24" s="3" t="s">
        <v>87</v>
      </c>
    </row>
    <row r="25" spans="1:9" ht="25" x14ac:dyDescent="0.35">
      <c r="A25" s="8" t="s">
        <v>76</v>
      </c>
      <c r="B25" s="8" t="s">
        <v>88</v>
      </c>
      <c r="C25" s="3" t="s">
        <v>11</v>
      </c>
      <c r="D25" s="3" t="s">
        <v>12</v>
      </c>
      <c r="E25" s="3"/>
      <c r="F25" s="3" t="s">
        <v>89</v>
      </c>
      <c r="G25" s="3" t="s">
        <v>64</v>
      </c>
      <c r="H25" s="3" t="s">
        <v>15</v>
      </c>
      <c r="I25" s="3"/>
    </row>
    <row r="26" spans="1:9" ht="25" x14ac:dyDescent="0.35">
      <c r="A26" s="8" t="s">
        <v>76</v>
      </c>
      <c r="B26" s="8" t="s">
        <v>90</v>
      </c>
      <c r="C26" s="3" t="s">
        <v>11</v>
      </c>
      <c r="D26" s="3" t="s">
        <v>12</v>
      </c>
      <c r="E26" s="3" t="s">
        <v>91</v>
      </c>
      <c r="F26" s="3" t="s">
        <v>92</v>
      </c>
      <c r="G26" s="3" t="s">
        <v>64</v>
      </c>
      <c r="H26" s="3" t="s">
        <v>15</v>
      </c>
      <c r="I26" s="3" t="s">
        <v>93</v>
      </c>
    </row>
    <row r="28" spans="1:9" ht="15.5" x14ac:dyDescent="0.35">
      <c r="A28" s="9" t="s">
        <v>94</v>
      </c>
    </row>
    <row r="29" spans="1:9" x14ac:dyDescent="0.35">
      <c r="A29" s="10" t="s">
        <v>95</v>
      </c>
      <c r="B29" s="11">
        <f>COUNTA(H2:H26)</f>
        <v>25</v>
      </c>
    </row>
    <row r="30" spans="1:9" x14ac:dyDescent="0.35">
      <c r="A30" s="10" t="s">
        <v>96</v>
      </c>
      <c r="B30" s="11">
        <f>COUNTIF(H2:H26,"Completed")</f>
        <v>6</v>
      </c>
    </row>
    <row r="31" spans="1:9" x14ac:dyDescent="0.35">
      <c r="A31" s="10" t="s">
        <v>97</v>
      </c>
      <c r="B31" s="11">
        <f>COUNTIF(H2:H26,"In Progress")</f>
        <v>0</v>
      </c>
    </row>
    <row r="32" spans="1:9" x14ac:dyDescent="0.35">
      <c r="A32" s="10" t="s">
        <v>98</v>
      </c>
      <c r="B32" s="11">
        <f>COUNTIF(H2:H26,"Not Started")</f>
        <v>19</v>
      </c>
    </row>
    <row r="33" spans="1:2" x14ac:dyDescent="0.35">
      <c r="A33" s="10" t="s">
        <v>99</v>
      </c>
      <c r="B33" s="12">
        <f>IF(B29=0,0,B30/B29)</f>
        <v>0.24</v>
      </c>
    </row>
  </sheetData>
  <autoFilter ref="A1:I26" xr:uid="{00000000-0009-0000-0000-000000000000}"/>
  <dataValidations count="1">
    <dataValidation type="list" allowBlank="1" errorTitle="Invalid Status" error="Please select a valid status" sqref="H2 H3 H4 H5 H6 H7 H8 H9 H10 H11 H12 H13 H14 H15 H16 H17 H18 H19 H20 H21 H22 H23 H24 H25 H26" xr:uid="{00000000-0002-0000-0000-000000000000}">
      <formula1>"Not Started,In Progress,Completed,N/A"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Chiang</cp:lastModifiedBy>
  <dcterms:created xsi:type="dcterms:W3CDTF">2026-04-01T20:28:13Z</dcterms:created>
  <dcterms:modified xsi:type="dcterms:W3CDTF">2026-04-02T04:12:54Z</dcterms:modified>
</cp:coreProperties>
</file>